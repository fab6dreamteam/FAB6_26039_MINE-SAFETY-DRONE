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y Now" sheetId="1" state="visible" r:id="rId3"/>
    <sheet name="Phase 2 (deferred)" sheetId="2" state="visible" r:id="rId4"/>
    <sheet name="Notes" sheetId="3" state="visible" r:id="rId5"/>
  </sheets>
  <definedNames>
    <definedName function="false" hidden="true" localSheetId="0" name="_xlnm._FilterDatabase" vbProcedure="false">'Buy Now'!$A$4:$J$59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<sst xmlns="http://schemas.openxmlformats.org/spreadsheetml/2006/main" count="373" uniqueCount="269">
  <si>
    <t xml:space="preserve">SIH 2026 · PS 26039 · Team FAB6 — Lean Component List</t>
  </si>
  <si>
    <t xml:space="preserve">Cost-optimised build. ESP32-CAM replaces the FPV/VTX chain; tether deferred to Phase 2. Flight stack (frame, motors, ESCs, FC, RX/TX, battery) excluded — you already have it.</t>
  </si>
  <si>
    <t xml:space="preserve">Ref</t>
  </si>
  <si>
    <t xml:space="preserve">Category</t>
  </si>
  <si>
    <t xml:space="preserve">Component</t>
  </si>
  <si>
    <t xml:space="preserve">Spec / variant</t>
  </si>
  <si>
    <t xml:space="preserve">Qty</t>
  </si>
  <si>
    <t xml:space="preserve">Unit ₹</t>
  </si>
  <si>
    <t xml:space="preserve">Line ₹</t>
  </si>
  <si>
    <t xml:space="preserve">Status</t>
  </si>
  <si>
    <t xml:space="preserve">Got it?</t>
  </si>
  <si>
    <t xml:space="preserve">Why it is on this list</t>
  </si>
  <si>
    <t xml:space="preserve">A. Gas &amp; environment</t>
  </si>
  <si>
    <t xml:space="preserve">01</t>
  </si>
  <si>
    <t xml:space="preserve">MQ-2 gas sensor module</t>
  </si>
  <si>
    <t xml:space="preserve">Combustible gas / smoke, analog</t>
  </si>
  <si>
    <t xml:space="preserve">BUY</t>
  </si>
  <si>
    <t xml:space="preserve">Heater 33 Ω, 152 mA continuous on 5 V</t>
  </si>
  <si>
    <t xml:space="preserve">02</t>
  </si>
  <si>
    <t xml:space="preserve">MQ-4 gas sensor module</t>
  </si>
  <si>
    <t xml:space="preserve">Methane (CH4) specific, analog</t>
  </si>
  <si>
    <t xml:space="preserve">Primary firedamp channel</t>
  </si>
  <si>
    <t xml:space="preserve">03</t>
  </si>
  <si>
    <t xml:space="preserve">MQ-7 gas sensor module</t>
  </si>
  <si>
    <t xml:space="preserve">Carbon monoxide, analog</t>
  </si>
  <si>
    <t xml:space="preserve">Needs the IRLZ44N below to cycle its heater</t>
  </si>
  <si>
    <t xml:space="preserve">04</t>
  </si>
  <si>
    <t xml:space="preserve">DHT22 / AM2302</t>
  </si>
  <si>
    <t xml:space="preserve">Temp + humidity, 1-wire</t>
  </si>
  <si>
    <t xml:space="preserve">Run at 3.3 V. Mount 60 mm+ from the MQ cluster</t>
  </si>
  <si>
    <t xml:space="preserve">B. Motion, range, thermal</t>
  </si>
  <si>
    <t xml:space="preserve">05</t>
  </si>
  <si>
    <t xml:space="preserve">MPU6050 (GY-521)</t>
  </si>
  <si>
    <t xml:space="preserve">6-axis IMU, I2C 0x68</t>
  </si>
  <si>
    <t xml:space="preserve">Vibration sensing. Mount RIGID — no damping</t>
  </si>
  <si>
    <t xml:space="preserve">06</t>
  </si>
  <si>
    <t xml:space="preserve">HC-SR04 ultrasonic</t>
  </si>
  <si>
    <t xml:space="preserve">Trigger/echo, 5 V</t>
  </si>
  <si>
    <t xml:space="preserve">ECHO is 5 V — needs the 2.2k/3.3k divider</t>
  </si>
  <si>
    <t xml:space="preserve">07</t>
  </si>
  <si>
    <t xml:space="preserve">MLX90614 (GY-906)</t>
  </si>
  <si>
    <t xml:space="preserve">IR thermometer, I2C 0x5A</t>
  </si>
  <si>
    <t xml:space="preserve">LONG LEAD ITEM — order first, often out of stock</t>
  </si>
  <si>
    <t xml:space="preserve">08</t>
  </si>
  <si>
    <t xml:space="preserve">SG90 micro servo</t>
  </si>
  <si>
    <t xml:space="preserve">9 g, 50 Hz PWM</t>
  </si>
  <si>
    <t xml:space="preserve">Thermal scan mount. Needs the 1000 uF cap</t>
  </si>
  <si>
    <t xml:space="preserve">C. Compute &amp; comms</t>
  </si>
  <si>
    <t xml:space="preserve">09</t>
  </si>
  <si>
    <t xml:space="preserve">ESP32 DevKit V1</t>
  </si>
  <si>
    <t xml:space="preserve">WROOM-32, 30-pin</t>
  </si>
  <si>
    <t xml:space="preserve">QTY 2 — one flies, one is the ground station</t>
  </si>
  <si>
    <t xml:space="preserve">10</t>
  </si>
  <si>
    <t xml:space="preserve">LoRa Ra-02 (SX1278)</t>
  </si>
  <si>
    <t xml:space="preserve">433 MHz SPI module</t>
  </si>
  <si>
    <t xml:space="preserve">QTY 2. Now your ONLY comms link — tether deferred</t>
  </si>
  <si>
    <t xml:space="preserve">11</t>
  </si>
  <si>
    <t xml:space="preserve">433 MHz antenna</t>
  </si>
  <si>
    <t xml:space="preserve">SMA whip or 17.3 cm spring</t>
  </si>
  <si>
    <t xml:space="preserve">NEVER power an SX1278 without one</t>
  </si>
  <si>
    <t xml:space="preserve">12</t>
  </si>
  <si>
    <t xml:space="preserve">Micro-USB data cable</t>
  </si>
  <si>
    <t xml:space="preserve">Data-capable, not charge-only</t>
  </si>
  <si>
    <t xml:space="preserve">CHECK LAB</t>
  </si>
  <si>
    <t xml:space="preserve">Everyone has these. Check before buying</t>
  </si>
  <si>
    <t xml:space="preserve">D. Camera</t>
  </si>
  <si>
    <t xml:space="preserve">13</t>
  </si>
  <si>
    <t xml:space="preserve">ESP32-CAM with CH340</t>
  </si>
  <si>
    <t xml:space="preserve">OV2640 2 MP + onboard USB programmer</t>
  </si>
  <si>
    <t xml:space="preserve">Replaces the ₹5,471 FPV chain. CH340 version = no FTDI needed</t>
  </si>
  <si>
    <t xml:space="preserve">14</t>
  </si>
  <si>
    <t xml:space="preserve">Electrolytic cap 220 uF</t>
  </si>
  <si>
    <t xml:space="preserve">Local decoupling at the ESP32-CAM</t>
  </si>
  <si>
    <t xml:space="preserve">Wi-Fi TX pulses otherwise disturb the 5 V rail</t>
  </si>
  <si>
    <t xml:space="preserve">E. Power</t>
  </si>
  <si>
    <t xml:space="preserve">15</t>
  </si>
  <si>
    <t xml:space="preserve">UBEC 5 V / 3 A switching</t>
  </si>
  <si>
    <t xml:space="preserve">Input 2-6S</t>
  </si>
  <si>
    <t xml:space="preserve">Single rail now — no VTX means no second BEC</t>
  </si>
  <si>
    <t xml:space="preserve">16</t>
  </si>
  <si>
    <t xml:space="preserve">AMS1117-3.3 module</t>
  </si>
  <si>
    <t xml:space="preserve">5 V to 3.3 V LDO breakout</t>
  </si>
  <si>
    <t xml:space="preserve">3.3 V rail for LoRa + sensors. 1 spare</t>
  </si>
  <si>
    <t xml:space="preserve">17</t>
  </si>
  <si>
    <t xml:space="preserve">XT60 male pigtail</t>
  </si>
  <si>
    <t xml:space="preserve">14 AWG battery tap</t>
  </si>
  <si>
    <t xml:space="preserve">Payload taps the pack separately from the PDB</t>
  </si>
  <si>
    <t xml:space="preserve">18</t>
  </si>
  <si>
    <t xml:space="preserve">Polyfuse 2 A (MF-R200)</t>
  </si>
  <si>
    <t xml:space="preserve">Resettable PTC, pack of 5</t>
  </si>
  <si>
    <t xml:space="preserve">Payload fault cannot reach the flight controller</t>
  </si>
  <si>
    <t xml:space="preserve">19</t>
  </si>
  <si>
    <t xml:space="preserve">IRF4905 P-MOSFET</t>
  </si>
  <si>
    <t xml:space="preserve">TO-220, reverse-polarity protection</t>
  </si>
  <si>
    <t xml:space="preserve">One miswire otherwise kills the whole payload</t>
  </si>
  <si>
    <t xml:space="preserve">20</t>
  </si>
  <si>
    <t xml:space="preserve">TVS diode SMBJ15A</t>
  </si>
  <si>
    <t xml:space="preserve">Transient clamp</t>
  </si>
  <si>
    <t xml:space="preserve">Clamps ESC spikes on the payload branch</t>
  </si>
  <si>
    <t xml:space="preserve">F. Signal conditioning</t>
  </si>
  <si>
    <t xml:space="preserve">21</t>
  </si>
  <si>
    <t xml:space="preserve">MCP6004 quad op-amp</t>
  </si>
  <si>
    <t xml:space="preserve">DIP-14, rail-to-rail</t>
  </si>
  <si>
    <t xml:space="preserve">Buffers all 3 gas dividers — one chip does all of them</t>
  </si>
  <si>
    <t xml:space="preserve">22</t>
  </si>
  <si>
    <t xml:space="preserve">DIP-14 IC socket</t>
  </si>
  <si>
    <t xml:space="preserve">For the MCP6004</t>
  </si>
  <si>
    <t xml:space="preserve">Never solder the IC straight to perfboard</t>
  </si>
  <si>
    <t xml:space="preserve">23</t>
  </si>
  <si>
    <t xml:space="preserve">IRLZ44N N-MOSFET</t>
  </si>
  <si>
    <t xml:space="preserve">Logic-level, TO-220</t>
  </si>
  <si>
    <t xml:space="preserve">MQ-7 heater cycling. Without it MQ-7 cannot read CO. 1 spare</t>
  </si>
  <si>
    <t xml:space="preserve">G. Passives</t>
  </si>
  <si>
    <t xml:space="preserve">24</t>
  </si>
  <si>
    <t xml:space="preserve">Electrolytic cap set</t>
  </si>
  <si>
    <t xml:space="preserve">MUST include 1000uF, 470uF/25V, 220uF, 100uF, 10uF</t>
  </si>
  <si>
    <t xml:space="preserve">Do not skip. No 1000 uF = the servo resets your ESP32</t>
  </si>
  <si>
    <t xml:space="preserve">25</t>
  </si>
  <si>
    <t xml:space="preserve">Resistor kit, 1% metal film</t>
  </si>
  <si>
    <t xml:space="preserve">Needs 100k, 10k, 4.7k, 3.3k, 2.2k, 1k, 100R</t>
  </si>
  <si>
    <t xml:space="preserve">Standard lab stock. Verify these values are present</t>
  </si>
  <si>
    <t xml:space="preserve">26</t>
  </si>
  <si>
    <t xml:space="preserve">Ceramic cap 100 nF</t>
  </si>
  <si>
    <t xml:space="preserve">0.1 uF, pack of 50</t>
  </si>
  <si>
    <t xml:space="preserve">One at every active device VCC pin</t>
  </si>
  <si>
    <t xml:space="preserve">H. Mechanical</t>
  </si>
  <si>
    <t xml:space="preserve">27</t>
  </si>
  <si>
    <t xml:space="preserve">Payload pod</t>
  </si>
  <si>
    <t xml:space="preserve">Vented floor + side louvres</t>
  </si>
  <si>
    <t xml:space="preserve">3D PRINT</t>
  </si>
  <si>
    <t xml:space="preserve">Filament only (~₹250 if your dept charges)</t>
  </si>
  <si>
    <t xml:space="preserve">28</t>
  </si>
  <si>
    <t xml:space="preserve">Collimator tube</t>
  </si>
  <si>
    <t xml:space="preserve">6 mm ID x 20 mm, matte black inside</t>
  </si>
  <si>
    <t xml:space="preserve">Or a blackened brass tube / pen barrel, ~₹80</t>
  </si>
  <si>
    <t xml:space="preserve">29</t>
  </si>
  <si>
    <t xml:space="preserve">Extended landing gear</t>
  </si>
  <si>
    <t xml:space="preserve">Taller legs to clear the pod</t>
  </si>
  <si>
    <t xml:space="preserve">Printed legs are fine at 1.4 kg. Buy F450 tall gear (₹250) if unsure</t>
  </si>
  <si>
    <t xml:space="preserve">30</t>
  </si>
  <si>
    <t xml:space="preserve">M3 nylon standoff + screw kit</t>
  </si>
  <si>
    <t xml:space="preserve">Assorted lengths</t>
  </si>
  <si>
    <t xml:space="preserve">Common lab stock</t>
  </si>
  <si>
    <t xml:space="preserve">31</t>
  </si>
  <si>
    <t xml:space="preserve">Velcro battery straps</t>
  </si>
  <si>
    <t xml:space="preserve">300 mm</t>
  </si>
  <si>
    <t xml:space="preserve">Battery slides fore/aft to trim the CG</t>
  </si>
  <si>
    <t xml:space="preserve">32</t>
  </si>
  <si>
    <t xml:space="preserve">Zip ties + foam tape</t>
  </si>
  <si>
    <t xml:space="preserve">Assorted</t>
  </si>
  <si>
    <t xml:space="preserve">Cable management and board mounting</t>
  </si>
  <si>
    <t xml:space="preserve">I. Prototyping</t>
  </si>
  <si>
    <t xml:space="preserve">33</t>
  </si>
  <si>
    <t xml:space="preserve">Perfboard / zero PCB</t>
  </si>
  <si>
    <t xml:space="preserve">General purpose</t>
  </si>
  <si>
    <t xml:space="preserve">Signal conditioning board. Gets consumed</t>
  </si>
  <si>
    <t xml:space="preserve">34</t>
  </si>
  <si>
    <t xml:space="preserve">Berg strip headers</t>
  </si>
  <si>
    <t xml:space="preserve">Male + female, 40-pin</t>
  </si>
  <si>
    <t xml:space="preserve">Socket the modules — do not solder them down</t>
  </si>
  <si>
    <t xml:space="preserve">35</t>
  </si>
  <si>
    <t xml:space="preserve">Silicone wire 28 + 22 AWG</t>
  </si>
  <si>
    <t xml:space="preserve">Stranded, multi-colour</t>
  </si>
  <si>
    <t xml:space="preserve">Lab wire is usually solid core — cracks under vibration</t>
  </si>
  <si>
    <t xml:space="preserve">36</t>
  </si>
  <si>
    <t xml:space="preserve">Breadboard 830-point</t>
  </si>
  <si>
    <t xml:space="preserve">Solderless</t>
  </si>
  <si>
    <t xml:space="preserve">For stage-by-stage bring-up</t>
  </si>
  <si>
    <t xml:space="preserve">37</t>
  </si>
  <si>
    <t xml:space="preserve">Jumper wire set</t>
  </si>
  <si>
    <t xml:space="preserve">M-M, M-F, F-F</t>
  </si>
  <si>
    <t xml:space="preserve">Standard lab stock</t>
  </si>
  <si>
    <t xml:space="preserve">38</t>
  </si>
  <si>
    <t xml:space="preserve">Heat shrink assortment</t>
  </si>
  <si>
    <t xml:space="preserve">Assorted diameters</t>
  </si>
  <si>
    <t xml:space="preserve">Every flying joint</t>
  </si>
  <si>
    <t xml:space="preserve">39</t>
  </si>
  <si>
    <t xml:space="preserve">Solder wire + flux</t>
  </si>
  <si>
    <t xml:space="preserve">60/40, 0.8 mm</t>
  </si>
  <si>
    <t xml:space="preserve">J. Spares</t>
  </si>
  <si>
    <t xml:space="preserve">40</t>
  </si>
  <si>
    <t xml:space="preserve">Spare ESP32 DevKit V1</t>
  </si>
  <si>
    <t xml:space="preserve">3rd board</t>
  </si>
  <si>
    <t xml:space="preserve">The one spare worth buying. You WILL kill a board</t>
  </si>
  <si>
    <t xml:space="preserve">K. Tools (must have access)</t>
  </si>
  <si>
    <t xml:space="preserve">41</t>
  </si>
  <si>
    <t xml:space="preserve">Digital multimeter</t>
  </si>
  <si>
    <t xml:space="preserve">Continuity + DC volts</t>
  </si>
  <si>
    <t xml:space="preserve">MANDATORY — measure every divider before connecting it</t>
  </si>
  <si>
    <t xml:space="preserve">42</t>
  </si>
  <si>
    <t xml:space="preserve">Soldering iron + stand</t>
  </si>
  <si>
    <t xml:space="preserve">Temperature controlled preferred</t>
  </si>
  <si>
    <t xml:space="preserve">43</t>
  </si>
  <si>
    <t xml:space="preserve">LiPo balance charger + safe bag</t>
  </si>
  <si>
    <t xml:space="preserve">3S capable</t>
  </si>
  <si>
    <t xml:space="preserve">Safety critical</t>
  </si>
  <si>
    <t xml:space="preserve">44</t>
  </si>
  <si>
    <t xml:space="preserve">Bench 5 V supply / USB power bank</t>
  </si>
  <si>
    <t xml:space="preserve">For the 24-48 h MQ burn-in</t>
  </si>
  <si>
    <t xml:space="preserve">Burn-in starts DAYS before the demo</t>
  </si>
  <si>
    <t xml:space="preserve">CASH NEEDED NOW  (status = BUY)</t>
  </si>
  <si>
    <t xml:space="preserve">What you actually have to spend to start building.</t>
  </si>
  <si>
    <t xml:space="preserve">IF THE LAB HAS NOTHING  (BUY + LAB)</t>
  </si>
  <si>
    <t xml:space="preserve">Worst case — you buy every lab-stock item too.</t>
  </si>
  <si>
    <t xml:space="preserve">LAB-STOCK VALUE  (status = CHECK LAB)</t>
  </si>
  <si>
    <t xml:space="preserve">Borrow or use these and this is what you save.</t>
  </si>
  <si>
    <t xml:space="preserve">Phase 2 — add these only if funding comes through or you advance</t>
  </si>
  <si>
    <t xml:space="preserve">Nothing here blocks the build. Each line says what you gain by adding it back.</t>
  </si>
  <si>
    <t xml:space="preserve">Spec</t>
  </si>
  <si>
    <t xml:space="preserve">What it buys you</t>
  </si>
  <si>
    <t xml:space="preserve">AIO FPV camera + 5.8 GHz VTX</t>
  </si>
  <si>
    <t xml:space="preserve">Analog FPV chain</t>
  </si>
  <si>
    <t xml:space="preserve">True low-latency analog video and the real deployed architecture, instead of Wi-Fi at demo range.</t>
  </si>
  <si>
    <t xml:space="preserve">5.8 GHz receiver or goggles</t>
  </si>
  <si>
    <t xml:space="preserve">RX module + monitor, or goggles</t>
  </si>
  <si>
    <t xml:space="preserve">Required to see anything from the VTX above. Borrow from a campus aeromodelling club before buying.</t>
  </si>
  <si>
    <t xml:space="preserve">UBEC 5 V / 3 A (BEC2)</t>
  </si>
  <si>
    <t xml:space="preserve">Second rail for the video chain</t>
  </si>
  <si>
    <t xml:space="preserve">Only needed if you add the VTX back — keeps its switching noise off the sensor rail.</t>
  </si>
  <si>
    <t xml:space="preserve">MAX3485 TTL-RS485 module</t>
  </si>
  <si>
    <t xml:space="preserve">3.3 V, half duplex</t>
  </si>
  <si>
    <t xml:space="preserve">Wired tether link. Add if LoRa proves unreliable through your mock structure.</t>
  </si>
  <si>
    <t xml:space="preserve">Tether cable, 30 AWG silicone</t>
  </si>
  <si>
    <t xml:space="preserve">5 conductors, 20 m</t>
  </si>
  <si>
    <t xml:space="preserve">The physical tether. NOT CAT5 — 15 m of that weighs 570 g.</t>
  </si>
  <si>
    <t xml:space="preserve">ADS1115 16-bit ADC</t>
  </si>
  <si>
    <t xml:space="preserve">4-channel I2C ADC</t>
  </si>
  <si>
    <t xml:space="preserve">Removes ESP32 ADC non-linearity from the gas readings. Data-quality upgrade, not a fix.</t>
  </si>
  <si>
    <t xml:space="preserve">Spare MQ-2 / MQ-4 / MQ-7 set</t>
  </si>
  <si>
    <t xml:space="preserve">One of each</t>
  </si>
  <si>
    <t xml:space="preserve">Insurance. MQ elements degrade if mis-powered during bring-up.</t>
  </si>
  <si>
    <t xml:space="preserve">Spare SG90 + spare HC-SR04</t>
  </si>
  <si>
    <t xml:space="preserve">The two cheapest parts most likely to fail.</t>
  </si>
  <si>
    <t xml:space="preserve">Anti-vibration mounts</t>
  </si>
  <si>
    <t xml:space="preserve">Rubber ball dampers</t>
  </si>
  <si>
    <t xml:space="preserve">For the FLIGHT CONTROLLER only. NEVER put these under the MPU6050.</t>
  </si>
  <si>
    <t xml:space="preserve">PHASE 2 TOTAL</t>
  </si>
  <si>
    <t xml:space="preserve">What changed, and what it costs you</t>
  </si>
  <si>
    <t xml:space="preserve">The four cuts</t>
  </si>
  <si>
    <t xml:space="preserve">1</t>
  </si>
  <si>
    <t xml:space="preserve">VIDEO: ESP32-CAM (₹599) replaces the AIO FPV camera + 5.8 GHz VTX + receiver (₹5,471). Saves ₹4,872 — by far the biggest single saving, and it is the item least connected to what you are actually judged on.</t>
  </si>
  <si>
    <t xml:space="preserve">2</t>
  </si>
  <si>
    <t xml:space="preserve">TETHER: deferred (₹694 saved). LoRa 433 MHz is now your only link. At the distances inside a mock structure it will get through fine. Add the tether back only if testing proves otherwise.</t>
  </si>
  <si>
    <t xml:space="preserve">3</t>
  </si>
  <si>
    <t xml:space="preserve">SECOND BEC: deleted (₹269 saved). It existed to isolate the VTX's switching noise. No VTX, no need for it.</t>
  </si>
  <si>
    <t xml:space="preserve">4</t>
  </si>
  <si>
    <t xml:space="preserve">LAB STOCK: breadboard, jumpers, resistors, ceramic caps, solder, heatshrink, standoffs and USB cables are marked CHECK LAB. Borrowing them saves about ₹1,370.</t>
  </si>
  <si>
    <t xml:space="preserve">What the ESP32-CAM actually gives you, and what it does not</t>
  </si>
  <si>
    <t xml:space="preserve">·</t>
  </si>
  <si>
    <t xml:space="preserve">GIVES: a working 2 MP camera feed to your laptop over Wi-Fi, on a separate board from your sensor ESP32 so there is no GPIO conflict. The CH340 version has a built-in USB programmer, so you do not need an FTDI adapter.</t>
  </si>
  <si>
    <t xml:space="preserve">DOES NOT GIVE: the deployed architecture. It is Wi-Fi, which does not work underground — that is the whole reason your design uses LoRa for data. It works at demo range and nowhere else.</t>
  </si>
  <si>
    <t xml:space="preserve">SAY THIS TO A JUDGE, PLAINLY: 'Camera is demonstrated over Wi-Fi at short range; the deployed design uses an analog 5.8 GHz downlink.' That is honest, it is consistent with how you have labelled LoRa as planned, and it will hold up under questioning. Claiming it is the real video architecture will not.</t>
  </si>
  <si>
    <t xml:space="preserve">SLIDE CHANGE: slide 5 currently reads 'RGB (FPV) + scanning thermal (MLX90614)'. Change 'RGB (FPV)' to 'ESP32-CAM vision (demo)' so the deck matches what you built.</t>
  </si>
  <si>
    <t xml:space="preserve">Power budget — revised for this build</t>
  </si>
  <si>
    <t xml:space="preserve">Removing the VTX and adding the ESP32-CAM changes the 5 V load: typical rises from 712 mA to about 962 mA, peak from 1666 mA to about 1976 mA (the ESP32-CAM draws ~250 mA streaming, ~310 mA on Wi-Fi TX peaks).</t>
  </si>
  <si>
    <t xml:space="preserve">The single 5 V / 3 A UBEC still covers this at 1.52x margin, which clears the 1.5x target. No change needed — but fit the 220 uF cap at the ESP32-CAM, or its Wi-Fi bursts will show up as noise in your gas readings.</t>
  </si>
  <si>
    <t xml:space="preserve">Payload mass is essentially unchanged (ESP32-CAM ~10 g vs AIO + antenna ~13 g). Thrust-to-weight stays at about 2.07:1.</t>
  </si>
  <si>
    <t xml:space="preserve">Order these first — everything else can wait</t>
  </si>
  <si>
    <t xml:space="preserve">MQ-2, MQ-4, MQ-7. They need 24-48 hours of continuous powered burn-in before their baselines stabilise. This cannot be compressed and it has to happen days before the demo.</t>
  </si>
  <si>
    <t xml:space="preserve">MLX90614. The longest-lead item on the list and frequently out of stock.</t>
  </si>
  <si>
    <t xml:space="preserve">Before you spend your own money</t>
  </si>
  <si>
    <t xml:space="preserve">Ask your department. Most colleges reimburse SIH prototype costs or hold a project fund for shortlisted teams. You are through round 1 of a national hackathon — that is exactly the case departments fund.</t>
  </si>
  <si>
    <t xml:space="preserve">Ask around campus for a 5.8 GHz receiver or FPV goggles before buying the video chain back. A robotics or aeromodelling club will usually have one you can borrow for an afternoon.</t>
  </si>
  <si>
    <t xml:space="preserve">Prices</t>
  </si>
  <si>
    <t xml:space="preserve">Indicative Indian retail (Robu.in, Robocraze, Robokits, ElectronicsComp), September 2026, GST inclusive where quoted. Verified: ESP32-CAM with CH340 ₹599 (Robu), UBEC 5V/3A ₹269 (Robu), ESP32 DevKit 30-pin ₹435 (Robocraze), MAX3485 module ₹197 (Robu).</t>
  </si>
  <si>
    <t xml:space="preserve">Expect ±15% and add shipping. Consolidate to as few suppliers as possible — split orders across three sites can add ₹300+ in shipping alone.</t>
  </si>
  <si>
    <t xml:space="preserve">Legend</t>
  </si>
  <si>
    <t xml:space="preserve">BUY = must purchase.   CHECK LAB = likely in your college electronics lab, confirm before ordering.   3D PRINT = filament only.</t>
  </si>
  <si>
    <t xml:space="preserve">The yellow 'Got it?' column is a dropdown (YES / NO / ORDERED). Filter the header row by Category or Status to split the buying across the six of you.</t>
  </si>
</sst>
</file>

<file path=xl/styles.xml><?xml version="1.0" encoding="utf-8"?>
<styleSheet xmlns="http://schemas.openxmlformats.org/spreadsheetml/2006/main">
  <numFmts count="2">
    <numFmt numFmtId="164" formatCode="General"/>
    <numFmt numFmtId="165" formatCode="\₹#,##0"/>
  </numFmts>
  <fonts count="20">
    <font>
      <sz val="11"/>
      <color theme="1"/>
      <name val="Calibri"/>
      <family val="2"/>
      <charset val="1"/>
    </font>
    <font>
      <sz val="10"/>
      <name val="Arial"/>
      <family val="0"/>
    </font>
    <font>
      <sz val="10"/>
      <name val="Arial"/>
      <family val="0"/>
    </font>
    <font>
      <sz val="10"/>
      <name val="Arial"/>
      <family val="0"/>
    </font>
    <font>
      <b val="true"/>
      <sz val="14"/>
      <color rgb="FF1F3350"/>
      <name val="Arial"/>
      <family val="0"/>
      <charset val="1"/>
    </font>
    <font>
      <i val="true"/>
      <sz val="9"/>
      <color rgb="FF5B6770"/>
      <name val="Arial"/>
      <family val="0"/>
      <charset val="1"/>
    </font>
    <font>
      <b val="true"/>
      <sz val="9"/>
      <color rgb="FFFFFFFF"/>
      <name val="Arial"/>
      <family val="0"/>
      <charset val="1"/>
    </font>
    <font>
      <b val="true"/>
      <sz val="9"/>
      <color rgb="FF1F3350"/>
      <name val="Arial"/>
      <family val="0"/>
      <charset val="1"/>
    </font>
    <font>
      <sz val="9"/>
      <name val="Arial"/>
      <family val="0"/>
      <charset val="1"/>
    </font>
    <font>
      <b val="true"/>
      <sz val="9"/>
      <name val="Arial"/>
      <family val="0"/>
      <charset val="1"/>
    </font>
    <font>
      <b val="true"/>
      <sz val="9"/>
      <color rgb="FFC2571F"/>
      <name val="Arial"/>
      <family val="0"/>
      <charset val="1"/>
    </font>
    <font>
      <sz val="9"/>
      <color rgb="FF0E8375"/>
      <name val="Arial"/>
      <family val="0"/>
      <charset val="1"/>
    </font>
    <font>
      <sz val="9"/>
      <color rgb="FF8A7B4F"/>
      <name val="Arial"/>
      <family val="0"/>
      <charset val="1"/>
    </font>
    <font>
      <b val="true"/>
      <sz val="10"/>
      <color rgb="FF1F3350"/>
      <name val="Arial"/>
      <family val="0"/>
      <charset val="1"/>
    </font>
    <font>
      <b val="true"/>
      <sz val="11"/>
      <color rgb="FFC2571F"/>
      <name val="Arial"/>
      <family val="0"/>
      <charset val="1"/>
    </font>
    <font>
      <sz val="9"/>
      <color rgb="FF5B6770"/>
      <name val="Arial"/>
      <family val="0"/>
      <charset val="1"/>
    </font>
    <font>
      <b val="true"/>
      <sz val="11"/>
      <color rgb="FF0E8375"/>
      <name val="Arial"/>
      <family val="0"/>
      <charset val="1"/>
    </font>
    <font>
      <b val="true"/>
      <sz val="11"/>
      <color rgb="FF5B6770"/>
      <name val="Arial"/>
      <family val="0"/>
      <charset val="1"/>
    </font>
    <font>
      <b val="true"/>
      <sz val="11"/>
      <color rgb="FF1F3350"/>
      <name val="Arial"/>
      <family val="0"/>
      <charset val="1"/>
    </font>
    <font>
      <b val="true"/>
      <sz val="9"/>
      <color rgb="FF5B6770"/>
      <name val="Arial"/>
      <family val="0"/>
      <charset val="1"/>
    </font>
  </fonts>
  <fills count="5">
    <fill>
      <patternFill patternType="none"/>
    </fill>
    <fill>
      <patternFill patternType="gray125"/>
    </fill>
    <fill>
      <patternFill patternType="solid">
        <fgColor rgb="FF1F3350"/>
        <bgColor rgb="FF003366"/>
      </patternFill>
    </fill>
    <fill>
      <patternFill patternType="solid">
        <fgColor rgb="FFE8EDF2"/>
        <bgColor rgb="FFFFF6CC"/>
      </patternFill>
    </fill>
    <fill>
      <patternFill patternType="solid">
        <fgColor rgb="FFFFF6CC"/>
        <bgColor rgb="FFFFFFFF"/>
      </patternFill>
    </fill>
  </fills>
  <borders count="2">
    <border diagonalUp="false" diagonalDown="false">
      <left/>
      <right/>
      <top/>
      <bottom/>
      <diagonal/>
    </border>
    <border diagonalUp="false" diagonalDown="false">
      <left style="thin">
        <color rgb="FFC9D1D6"/>
      </left>
      <right style="thin">
        <color rgb="FFC9D1D6"/>
      </right>
      <top style="thin">
        <color rgb="FFC9D1D6"/>
      </top>
      <bottom style="thin">
        <color rgb="FFC9D1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4" fillId="3"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5" fontId="16" fillId="3" borderId="1" xfId="0" applyFont="true" applyBorder="true" applyAlignment="false" applyProtection="false">
      <alignment horizontal="general" vertical="bottom" textRotation="0" wrapText="false" indent="0" shrinkToFit="false"/>
      <protection locked="true" hidden="false"/>
    </xf>
    <xf numFmtId="165" fontId="17" fillId="3" borderId="1" xfId="0" applyFont="true" applyBorder="true" applyAlignment="false" applyProtection="false">
      <alignment horizontal="general" vertical="bottom" textRotation="0" wrapText="false" indent="0" shrinkToFit="false"/>
      <protection locked="true" hidden="false"/>
    </xf>
    <xf numFmtId="165" fontId="18" fillId="3"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350"/>
          <bgColor rgb="FF000000"/>
        </patternFill>
      </fill>
    </dxf>
    <dxf>
      <fill>
        <patternFill patternType="solid">
          <fgColor rgb="FFE8EDF2"/>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0E8375"/>
          <bgColor rgb="FF000000"/>
        </patternFill>
      </fill>
    </dxf>
    <dxf>
      <fill>
        <patternFill patternType="solid">
          <fgColor rgb="FF8A7B4F"/>
          <bgColor rgb="FF000000"/>
        </patternFill>
      </fill>
    </dxf>
    <dxf>
      <fill>
        <patternFill patternType="solid">
          <fgColor rgb="FFC2571F"/>
          <bgColor rgb="FF000000"/>
        </patternFill>
      </fill>
    </dxf>
    <dxf>
      <fill>
        <patternFill patternType="solid">
          <fgColor rgb="FFFFF6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8375"/>
      <rgbColor rgb="FFC0C0C0"/>
      <rgbColor rgb="FF8A7B4F"/>
      <rgbColor rgb="FF9999FF"/>
      <rgbColor rgb="FF993366"/>
      <rgbColor rgb="FFFFF6CC"/>
      <rgbColor rgb="FFE8EDF2"/>
      <rgbColor rgb="FF660066"/>
      <rgbColor rgb="FFFF8080"/>
      <rgbColor rgb="FF0066CC"/>
      <rgbColor rgb="FFC9D1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2571F"/>
      <rgbColor rgb="FF5B6770"/>
      <rgbColor rgb="FF969696"/>
      <rgbColor rgb="FF003366"/>
      <rgbColor rgb="FF339966"/>
      <rgbColor rgb="FF003300"/>
      <rgbColor rgb="FF333300"/>
      <rgbColor rgb="FF993300"/>
      <rgbColor rgb="FF993366"/>
      <rgbColor rgb="FF333399"/>
      <rgbColor rgb="FF1F33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30"/>
    <col collapsed="false" customWidth="true" hidden="false" outlineLevel="0" max="4" min="4" style="0" width="40"/>
    <col collapsed="false" customWidth="true" hidden="false" outlineLevel="0" max="5" min="5" style="0" width="5"/>
    <col collapsed="false" customWidth="true" hidden="false" outlineLevel="0" max="6" min="6" style="0" width="9"/>
    <col collapsed="false" customWidth="true" hidden="false" outlineLevel="0" max="7" min="7" style="0" width="10"/>
    <col collapsed="false" customWidth="true" hidden="false" outlineLevel="0" max="8" min="8" style="0" width="12"/>
    <col collapsed="false" customWidth="true" hidden="false" outlineLevel="0" max="9" min="9" style="0" width="9"/>
    <col collapsed="false" customWidth="true" hidden="false" outlineLevel="0" max="10" min="10" style="0" width="56"/>
  </cols>
  <sheetData>
    <row r="1" customFormat="false" ht="17.35" hidden="false" customHeight="false" outlineLevel="0" collapsed="false">
      <c r="A1" s="1" t="s">
        <v>0</v>
      </c>
      <c r="B1" s="1"/>
      <c r="C1" s="1"/>
      <c r="D1" s="1"/>
      <c r="E1" s="1"/>
      <c r="F1" s="1"/>
      <c r="G1" s="1"/>
      <c r="H1" s="1"/>
      <c r="I1" s="1"/>
      <c r="J1" s="1"/>
    </row>
    <row r="2" customFormat="false" ht="15" hidden="false" customHeight="false" outlineLevel="0" collapsed="false">
      <c r="A2" s="2" t="s">
        <v>1</v>
      </c>
      <c r="B2" s="2"/>
      <c r="C2" s="2"/>
      <c r="D2" s="2"/>
      <c r="E2" s="2"/>
      <c r="F2" s="2"/>
      <c r="G2" s="2"/>
      <c r="H2" s="2"/>
      <c r="I2" s="2"/>
      <c r="J2" s="2"/>
    </row>
    <row r="4" customFormat="false" ht="30" hidden="false" customHeight="true" outlineLevel="0" collapsed="false">
      <c r="A4" s="3" t="s">
        <v>2</v>
      </c>
      <c r="B4" s="3" t="s">
        <v>3</v>
      </c>
      <c r="C4" s="3" t="s">
        <v>4</v>
      </c>
      <c r="D4" s="3" t="s">
        <v>5</v>
      </c>
      <c r="E4" s="3" t="s">
        <v>6</v>
      </c>
      <c r="F4" s="3" t="s">
        <v>7</v>
      </c>
      <c r="G4" s="3" t="s">
        <v>8</v>
      </c>
      <c r="H4" s="3" t="s">
        <v>9</v>
      </c>
      <c r="I4" s="3" t="s">
        <v>10</v>
      </c>
      <c r="J4" s="3" t="s">
        <v>11</v>
      </c>
    </row>
    <row r="5" customFormat="false" ht="15" hidden="false" customHeight="false" outlineLevel="0" collapsed="false">
      <c r="A5" s="4" t="s">
        <v>12</v>
      </c>
      <c r="B5" s="4"/>
      <c r="C5" s="4"/>
      <c r="D5" s="4"/>
      <c r="E5" s="4"/>
      <c r="F5" s="4"/>
      <c r="G5" s="4"/>
      <c r="H5" s="4"/>
      <c r="I5" s="4"/>
      <c r="J5" s="4"/>
    </row>
    <row r="6" customFormat="false" ht="15" hidden="false" customHeight="false" outlineLevel="0" collapsed="false">
      <c r="A6" s="5" t="s">
        <v>13</v>
      </c>
      <c r="B6" s="5" t="s">
        <v>12</v>
      </c>
      <c r="C6" s="6" t="s">
        <v>14</v>
      </c>
      <c r="D6" s="6" t="s">
        <v>15</v>
      </c>
      <c r="E6" s="7" t="n">
        <v>1</v>
      </c>
      <c r="F6" s="8" t="n">
        <v>150</v>
      </c>
      <c r="G6" s="9" t="n">
        <f aca="false">E6*F6</f>
        <v>150</v>
      </c>
      <c r="H6" s="10" t="s">
        <v>16</v>
      </c>
      <c r="I6" s="11"/>
      <c r="J6" s="6" t="s">
        <v>17</v>
      </c>
    </row>
    <row r="7" customFormat="false" ht="15" hidden="false" customHeight="false" outlineLevel="0" collapsed="false">
      <c r="A7" s="5" t="s">
        <v>18</v>
      </c>
      <c r="B7" s="5" t="s">
        <v>12</v>
      </c>
      <c r="C7" s="6" t="s">
        <v>19</v>
      </c>
      <c r="D7" s="6" t="s">
        <v>20</v>
      </c>
      <c r="E7" s="7" t="n">
        <v>1</v>
      </c>
      <c r="F7" s="8" t="n">
        <v>180</v>
      </c>
      <c r="G7" s="9" t="n">
        <f aca="false">E7*F7</f>
        <v>180</v>
      </c>
      <c r="H7" s="10" t="s">
        <v>16</v>
      </c>
      <c r="I7" s="11"/>
      <c r="J7" s="6" t="s">
        <v>21</v>
      </c>
    </row>
    <row r="8" customFormat="false" ht="15" hidden="false" customHeight="false" outlineLevel="0" collapsed="false">
      <c r="A8" s="5" t="s">
        <v>22</v>
      </c>
      <c r="B8" s="5" t="s">
        <v>12</v>
      </c>
      <c r="C8" s="6" t="s">
        <v>23</v>
      </c>
      <c r="D8" s="6" t="s">
        <v>24</v>
      </c>
      <c r="E8" s="7" t="n">
        <v>1</v>
      </c>
      <c r="F8" s="8" t="n">
        <v>150</v>
      </c>
      <c r="G8" s="9" t="n">
        <f aca="false">E8*F8</f>
        <v>150</v>
      </c>
      <c r="H8" s="10" t="s">
        <v>16</v>
      </c>
      <c r="I8" s="11"/>
      <c r="J8" s="6" t="s">
        <v>25</v>
      </c>
    </row>
    <row r="9" customFormat="false" ht="15" hidden="false" customHeight="false" outlineLevel="0" collapsed="false">
      <c r="A9" s="5" t="s">
        <v>26</v>
      </c>
      <c r="B9" s="5" t="s">
        <v>12</v>
      </c>
      <c r="C9" s="6" t="s">
        <v>27</v>
      </c>
      <c r="D9" s="6" t="s">
        <v>28</v>
      </c>
      <c r="E9" s="7" t="n">
        <v>1</v>
      </c>
      <c r="F9" s="8" t="n">
        <v>250</v>
      </c>
      <c r="G9" s="9" t="n">
        <f aca="false">E9*F9</f>
        <v>250</v>
      </c>
      <c r="H9" s="10" t="s">
        <v>16</v>
      </c>
      <c r="I9" s="11"/>
      <c r="J9" s="6" t="s">
        <v>29</v>
      </c>
    </row>
    <row r="10" customFormat="false" ht="15" hidden="false" customHeight="false" outlineLevel="0" collapsed="false">
      <c r="A10" s="4" t="s">
        <v>30</v>
      </c>
      <c r="B10" s="4"/>
      <c r="C10" s="4"/>
      <c r="D10" s="4"/>
      <c r="E10" s="4"/>
      <c r="F10" s="4"/>
      <c r="G10" s="4"/>
      <c r="H10" s="4"/>
      <c r="I10" s="4"/>
      <c r="J10" s="4"/>
    </row>
    <row r="11" customFormat="false" ht="15" hidden="false" customHeight="false" outlineLevel="0" collapsed="false">
      <c r="A11" s="5" t="s">
        <v>31</v>
      </c>
      <c r="B11" s="5" t="s">
        <v>30</v>
      </c>
      <c r="C11" s="6" t="s">
        <v>32</v>
      </c>
      <c r="D11" s="6" t="s">
        <v>33</v>
      </c>
      <c r="E11" s="7" t="n">
        <v>1</v>
      </c>
      <c r="F11" s="8" t="n">
        <v>110</v>
      </c>
      <c r="G11" s="9" t="n">
        <f aca="false">E11*F11</f>
        <v>110</v>
      </c>
      <c r="H11" s="10" t="s">
        <v>16</v>
      </c>
      <c r="I11" s="11"/>
      <c r="J11" s="6" t="s">
        <v>34</v>
      </c>
    </row>
    <row r="12" customFormat="false" ht="15" hidden="false" customHeight="false" outlineLevel="0" collapsed="false">
      <c r="A12" s="5" t="s">
        <v>35</v>
      </c>
      <c r="B12" s="5" t="s">
        <v>30</v>
      </c>
      <c r="C12" s="6" t="s">
        <v>36</v>
      </c>
      <c r="D12" s="6" t="s">
        <v>37</v>
      </c>
      <c r="E12" s="7" t="n">
        <v>1</v>
      </c>
      <c r="F12" s="8" t="n">
        <v>80</v>
      </c>
      <c r="G12" s="9" t="n">
        <f aca="false">E12*F12</f>
        <v>80</v>
      </c>
      <c r="H12" s="10" t="s">
        <v>16</v>
      </c>
      <c r="I12" s="11"/>
      <c r="J12" s="6" t="s">
        <v>38</v>
      </c>
    </row>
    <row r="13" customFormat="false" ht="15" hidden="false" customHeight="false" outlineLevel="0" collapsed="false">
      <c r="A13" s="5" t="s">
        <v>39</v>
      </c>
      <c r="B13" s="5" t="s">
        <v>30</v>
      </c>
      <c r="C13" s="6" t="s">
        <v>40</v>
      </c>
      <c r="D13" s="6" t="s">
        <v>41</v>
      </c>
      <c r="E13" s="7" t="n">
        <v>1</v>
      </c>
      <c r="F13" s="8" t="n">
        <v>700</v>
      </c>
      <c r="G13" s="9" t="n">
        <f aca="false">E13*F13</f>
        <v>700</v>
      </c>
      <c r="H13" s="10" t="s">
        <v>16</v>
      </c>
      <c r="I13" s="11"/>
      <c r="J13" s="6" t="s">
        <v>42</v>
      </c>
    </row>
    <row r="14" customFormat="false" ht="15" hidden="false" customHeight="false" outlineLevel="0" collapsed="false">
      <c r="A14" s="5" t="s">
        <v>43</v>
      </c>
      <c r="B14" s="5" t="s">
        <v>30</v>
      </c>
      <c r="C14" s="6" t="s">
        <v>44</v>
      </c>
      <c r="D14" s="6" t="s">
        <v>45</v>
      </c>
      <c r="E14" s="7" t="n">
        <v>1</v>
      </c>
      <c r="F14" s="8" t="n">
        <v>99</v>
      </c>
      <c r="G14" s="9" t="n">
        <f aca="false">E14*F14</f>
        <v>99</v>
      </c>
      <c r="H14" s="10" t="s">
        <v>16</v>
      </c>
      <c r="I14" s="11"/>
      <c r="J14" s="6" t="s">
        <v>46</v>
      </c>
    </row>
    <row r="15" customFormat="false" ht="15" hidden="false" customHeight="false" outlineLevel="0" collapsed="false">
      <c r="A15" s="4" t="s">
        <v>47</v>
      </c>
      <c r="B15" s="4"/>
      <c r="C15" s="4"/>
      <c r="D15" s="4"/>
      <c r="E15" s="4"/>
      <c r="F15" s="4"/>
      <c r="G15" s="4"/>
      <c r="H15" s="4"/>
      <c r="I15" s="4"/>
      <c r="J15" s="4"/>
    </row>
    <row r="16" customFormat="false" ht="15" hidden="false" customHeight="false" outlineLevel="0" collapsed="false">
      <c r="A16" s="5" t="s">
        <v>48</v>
      </c>
      <c r="B16" s="5" t="s">
        <v>47</v>
      </c>
      <c r="C16" s="6" t="s">
        <v>49</v>
      </c>
      <c r="D16" s="6" t="s">
        <v>50</v>
      </c>
      <c r="E16" s="7" t="n">
        <v>2</v>
      </c>
      <c r="F16" s="8" t="n">
        <v>435</v>
      </c>
      <c r="G16" s="9" t="n">
        <f aca="false">E16*F16</f>
        <v>870</v>
      </c>
      <c r="H16" s="10" t="s">
        <v>16</v>
      </c>
      <c r="I16" s="11"/>
      <c r="J16" s="6" t="s">
        <v>51</v>
      </c>
    </row>
    <row r="17" customFormat="false" ht="15" hidden="false" customHeight="false" outlineLevel="0" collapsed="false">
      <c r="A17" s="5" t="s">
        <v>52</v>
      </c>
      <c r="B17" s="5" t="s">
        <v>47</v>
      </c>
      <c r="C17" s="6" t="s">
        <v>53</v>
      </c>
      <c r="D17" s="6" t="s">
        <v>54</v>
      </c>
      <c r="E17" s="7" t="n">
        <v>2</v>
      </c>
      <c r="F17" s="8" t="n">
        <v>280</v>
      </c>
      <c r="G17" s="9" t="n">
        <f aca="false">E17*F17</f>
        <v>560</v>
      </c>
      <c r="H17" s="10" t="s">
        <v>16</v>
      </c>
      <c r="I17" s="11"/>
      <c r="J17" s="6" t="s">
        <v>55</v>
      </c>
    </row>
    <row r="18" customFormat="false" ht="15" hidden="false" customHeight="false" outlineLevel="0" collapsed="false">
      <c r="A18" s="5" t="s">
        <v>56</v>
      </c>
      <c r="B18" s="5" t="s">
        <v>47</v>
      </c>
      <c r="C18" s="6" t="s">
        <v>57</v>
      </c>
      <c r="D18" s="6" t="s">
        <v>58</v>
      </c>
      <c r="E18" s="7" t="n">
        <v>2</v>
      </c>
      <c r="F18" s="8" t="n">
        <v>90</v>
      </c>
      <c r="G18" s="9" t="n">
        <f aca="false">E18*F18</f>
        <v>180</v>
      </c>
      <c r="H18" s="10" t="s">
        <v>16</v>
      </c>
      <c r="I18" s="11"/>
      <c r="J18" s="6" t="s">
        <v>59</v>
      </c>
    </row>
    <row r="19" customFormat="false" ht="15" hidden="false" customHeight="false" outlineLevel="0" collapsed="false">
      <c r="A19" s="5" t="s">
        <v>60</v>
      </c>
      <c r="B19" s="5" t="s">
        <v>47</v>
      </c>
      <c r="C19" s="6" t="s">
        <v>61</v>
      </c>
      <c r="D19" s="6" t="s">
        <v>62</v>
      </c>
      <c r="E19" s="7" t="n">
        <v>2</v>
      </c>
      <c r="F19" s="8" t="n">
        <v>80</v>
      </c>
      <c r="G19" s="9" t="n">
        <f aca="false">E19*F19</f>
        <v>160</v>
      </c>
      <c r="H19" s="12" t="s">
        <v>63</v>
      </c>
      <c r="I19" s="11"/>
      <c r="J19" s="6" t="s">
        <v>64</v>
      </c>
    </row>
    <row r="20" customFormat="false" ht="15" hidden="false" customHeight="false" outlineLevel="0" collapsed="false">
      <c r="A20" s="4" t="s">
        <v>65</v>
      </c>
      <c r="B20" s="4"/>
      <c r="C20" s="4"/>
      <c r="D20" s="4"/>
      <c r="E20" s="4"/>
      <c r="F20" s="4"/>
      <c r="G20" s="4"/>
      <c r="H20" s="4"/>
      <c r="I20" s="4"/>
      <c r="J20" s="4"/>
    </row>
    <row r="21" customFormat="false" ht="15" hidden="false" customHeight="false" outlineLevel="0" collapsed="false">
      <c r="A21" s="5" t="s">
        <v>66</v>
      </c>
      <c r="B21" s="5" t="s">
        <v>65</v>
      </c>
      <c r="C21" s="6" t="s">
        <v>67</v>
      </c>
      <c r="D21" s="6" t="s">
        <v>68</v>
      </c>
      <c r="E21" s="7" t="n">
        <v>1</v>
      </c>
      <c r="F21" s="8" t="n">
        <v>599</v>
      </c>
      <c r="G21" s="9" t="n">
        <f aca="false">E21*F21</f>
        <v>599</v>
      </c>
      <c r="H21" s="10" t="s">
        <v>16</v>
      </c>
      <c r="I21" s="11"/>
      <c r="J21" s="6" t="s">
        <v>69</v>
      </c>
    </row>
    <row r="22" customFormat="false" ht="15" hidden="false" customHeight="false" outlineLevel="0" collapsed="false">
      <c r="A22" s="5" t="s">
        <v>70</v>
      </c>
      <c r="B22" s="5" t="s">
        <v>65</v>
      </c>
      <c r="C22" s="6" t="s">
        <v>71</v>
      </c>
      <c r="D22" s="6" t="s">
        <v>72</v>
      </c>
      <c r="E22" s="7" t="n">
        <v>1</v>
      </c>
      <c r="F22" s="8" t="n">
        <v>10</v>
      </c>
      <c r="G22" s="9" t="n">
        <f aca="false">E22*F22</f>
        <v>10</v>
      </c>
      <c r="H22" s="10" t="s">
        <v>16</v>
      </c>
      <c r="I22" s="11"/>
      <c r="J22" s="6" t="s">
        <v>73</v>
      </c>
    </row>
    <row r="23" customFormat="false" ht="15" hidden="false" customHeight="false" outlineLevel="0" collapsed="false">
      <c r="A23" s="4" t="s">
        <v>74</v>
      </c>
      <c r="B23" s="4"/>
      <c r="C23" s="4"/>
      <c r="D23" s="4"/>
      <c r="E23" s="4"/>
      <c r="F23" s="4"/>
      <c r="G23" s="4"/>
      <c r="H23" s="4"/>
      <c r="I23" s="4"/>
      <c r="J23" s="4"/>
    </row>
    <row r="24" customFormat="false" ht="15" hidden="false" customHeight="false" outlineLevel="0" collapsed="false">
      <c r="A24" s="5" t="s">
        <v>75</v>
      </c>
      <c r="B24" s="5" t="s">
        <v>74</v>
      </c>
      <c r="C24" s="6" t="s">
        <v>76</v>
      </c>
      <c r="D24" s="6" t="s">
        <v>77</v>
      </c>
      <c r="E24" s="7" t="n">
        <v>1</v>
      </c>
      <c r="F24" s="8" t="n">
        <v>269</v>
      </c>
      <c r="G24" s="9" t="n">
        <f aca="false">E24*F24</f>
        <v>269</v>
      </c>
      <c r="H24" s="10" t="s">
        <v>16</v>
      </c>
      <c r="I24" s="11"/>
      <c r="J24" s="6" t="s">
        <v>78</v>
      </c>
    </row>
    <row r="25" customFormat="false" ht="15" hidden="false" customHeight="false" outlineLevel="0" collapsed="false">
      <c r="A25" s="5" t="s">
        <v>79</v>
      </c>
      <c r="B25" s="5" t="s">
        <v>74</v>
      </c>
      <c r="C25" s="6" t="s">
        <v>80</v>
      </c>
      <c r="D25" s="6" t="s">
        <v>81</v>
      </c>
      <c r="E25" s="7" t="n">
        <v>2</v>
      </c>
      <c r="F25" s="8" t="n">
        <v>45</v>
      </c>
      <c r="G25" s="9" t="n">
        <f aca="false">E25*F25</f>
        <v>90</v>
      </c>
      <c r="H25" s="10" t="s">
        <v>16</v>
      </c>
      <c r="I25" s="11"/>
      <c r="J25" s="6" t="s">
        <v>82</v>
      </c>
    </row>
    <row r="26" customFormat="false" ht="15" hidden="false" customHeight="false" outlineLevel="0" collapsed="false">
      <c r="A26" s="5" t="s">
        <v>83</v>
      </c>
      <c r="B26" s="5" t="s">
        <v>74</v>
      </c>
      <c r="C26" s="6" t="s">
        <v>84</v>
      </c>
      <c r="D26" s="6" t="s">
        <v>85</v>
      </c>
      <c r="E26" s="7" t="n">
        <v>1</v>
      </c>
      <c r="F26" s="8" t="n">
        <v>60</v>
      </c>
      <c r="G26" s="9" t="n">
        <f aca="false">E26*F26</f>
        <v>60</v>
      </c>
      <c r="H26" s="10" t="s">
        <v>16</v>
      </c>
      <c r="I26" s="11"/>
      <c r="J26" s="6" t="s">
        <v>86</v>
      </c>
    </row>
    <row r="27" customFormat="false" ht="15" hidden="false" customHeight="false" outlineLevel="0" collapsed="false">
      <c r="A27" s="5" t="s">
        <v>87</v>
      </c>
      <c r="B27" s="5" t="s">
        <v>74</v>
      </c>
      <c r="C27" s="6" t="s">
        <v>88</v>
      </c>
      <c r="D27" s="6" t="s">
        <v>89</v>
      </c>
      <c r="E27" s="7" t="n">
        <v>1</v>
      </c>
      <c r="F27" s="8" t="n">
        <v>50</v>
      </c>
      <c r="G27" s="9" t="n">
        <f aca="false">E27*F27</f>
        <v>50</v>
      </c>
      <c r="H27" s="10" t="s">
        <v>16</v>
      </c>
      <c r="I27" s="11"/>
      <c r="J27" s="6" t="s">
        <v>90</v>
      </c>
    </row>
    <row r="28" customFormat="false" ht="15" hidden="false" customHeight="false" outlineLevel="0" collapsed="false">
      <c r="A28" s="5" t="s">
        <v>91</v>
      </c>
      <c r="B28" s="5" t="s">
        <v>74</v>
      </c>
      <c r="C28" s="6" t="s">
        <v>92</v>
      </c>
      <c r="D28" s="6" t="s">
        <v>93</v>
      </c>
      <c r="E28" s="7" t="n">
        <v>1</v>
      </c>
      <c r="F28" s="8" t="n">
        <v>45</v>
      </c>
      <c r="G28" s="9" t="n">
        <f aca="false">E28*F28</f>
        <v>45</v>
      </c>
      <c r="H28" s="10" t="s">
        <v>16</v>
      </c>
      <c r="I28" s="11"/>
      <c r="J28" s="6" t="s">
        <v>94</v>
      </c>
    </row>
    <row r="29" customFormat="false" ht="15" hidden="false" customHeight="false" outlineLevel="0" collapsed="false">
      <c r="A29" s="5" t="s">
        <v>95</v>
      </c>
      <c r="B29" s="5" t="s">
        <v>74</v>
      </c>
      <c r="C29" s="6" t="s">
        <v>96</v>
      </c>
      <c r="D29" s="6" t="s">
        <v>97</v>
      </c>
      <c r="E29" s="7" t="n">
        <v>1</v>
      </c>
      <c r="F29" s="8" t="n">
        <v>40</v>
      </c>
      <c r="G29" s="9" t="n">
        <f aca="false">E29*F29</f>
        <v>40</v>
      </c>
      <c r="H29" s="10" t="s">
        <v>16</v>
      </c>
      <c r="I29" s="11"/>
      <c r="J29" s="6" t="s">
        <v>98</v>
      </c>
    </row>
    <row r="30" customFormat="false" ht="15" hidden="false" customHeight="false" outlineLevel="0" collapsed="false">
      <c r="A30" s="4" t="s">
        <v>99</v>
      </c>
      <c r="B30" s="4"/>
      <c r="C30" s="4"/>
      <c r="D30" s="4"/>
      <c r="E30" s="4"/>
      <c r="F30" s="4"/>
      <c r="G30" s="4"/>
      <c r="H30" s="4"/>
      <c r="I30" s="4"/>
      <c r="J30" s="4"/>
    </row>
    <row r="31" customFormat="false" ht="15" hidden="false" customHeight="false" outlineLevel="0" collapsed="false">
      <c r="A31" s="5" t="s">
        <v>100</v>
      </c>
      <c r="B31" s="5" t="s">
        <v>99</v>
      </c>
      <c r="C31" s="6" t="s">
        <v>101</v>
      </c>
      <c r="D31" s="6" t="s">
        <v>102</v>
      </c>
      <c r="E31" s="7" t="n">
        <v>1</v>
      </c>
      <c r="F31" s="8" t="n">
        <v>70</v>
      </c>
      <c r="G31" s="9" t="n">
        <f aca="false">E31*F31</f>
        <v>70</v>
      </c>
      <c r="H31" s="10" t="s">
        <v>16</v>
      </c>
      <c r="I31" s="11"/>
      <c r="J31" s="6" t="s">
        <v>103</v>
      </c>
    </row>
    <row r="32" customFormat="false" ht="15" hidden="false" customHeight="false" outlineLevel="0" collapsed="false">
      <c r="A32" s="5" t="s">
        <v>104</v>
      </c>
      <c r="B32" s="5" t="s">
        <v>99</v>
      </c>
      <c r="C32" s="6" t="s">
        <v>105</v>
      </c>
      <c r="D32" s="6" t="s">
        <v>106</v>
      </c>
      <c r="E32" s="7" t="n">
        <v>2</v>
      </c>
      <c r="F32" s="8" t="n">
        <v>10</v>
      </c>
      <c r="G32" s="9" t="n">
        <f aca="false">E32*F32</f>
        <v>20</v>
      </c>
      <c r="H32" s="10" t="s">
        <v>16</v>
      </c>
      <c r="I32" s="11"/>
      <c r="J32" s="6" t="s">
        <v>107</v>
      </c>
    </row>
    <row r="33" customFormat="false" ht="15" hidden="false" customHeight="false" outlineLevel="0" collapsed="false">
      <c r="A33" s="5" t="s">
        <v>108</v>
      </c>
      <c r="B33" s="5" t="s">
        <v>99</v>
      </c>
      <c r="C33" s="6" t="s">
        <v>109</v>
      </c>
      <c r="D33" s="6" t="s">
        <v>110</v>
      </c>
      <c r="E33" s="7" t="n">
        <v>2</v>
      </c>
      <c r="F33" s="8" t="n">
        <v>60</v>
      </c>
      <c r="G33" s="9" t="n">
        <f aca="false">E33*F33</f>
        <v>120</v>
      </c>
      <c r="H33" s="10" t="s">
        <v>16</v>
      </c>
      <c r="I33" s="11"/>
      <c r="J33" s="6" t="s">
        <v>111</v>
      </c>
    </row>
    <row r="34" customFormat="false" ht="15" hidden="false" customHeight="false" outlineLevel="0" collapsed="false">
      <c r="A34" s="4" t="s">
        <v>112</v>
      </c>
      <c r="B34" s="4"/>
      <c r="C34" s="4"/>
      <c r="D34" s="4"/>
      <c r="E34" s="4"/>
      <c r="F34" s="4"/>
      <c r="G34" s="4"/>
      <c r="H34" s="4"/>
      <c r="I34" s="4"/>
      <c r="J34" s="4"/>
    </row>
    <row r="35" customFormat="false" ht="22.35" hidden="false" customHeight="false" outlineLevel="0" collapsed="false">
      <c r="A35" s="5" t="s">
        <v>113</v>
      </c>
      <c r="B35" s="5" t="s">
        <v>112</v>
      </c>
      <c r="C35" s="6" t="s">
        <v>114</v>
      </c>
      <c r="D35" s="6" t="s">
        <v>115</v>
      </c>
      <c r="E35" s="7" t="n">
        <v>1</v>
      </c>
      <c r="F35" s="8" t="n">
        <v>200</v>
      </c>
      <c r="G35" s="9" t="n">
        <f aca="false">E35*F35</f>
        <v>200</v>
      </c>
      <c r="H35" s="10" t="s">
        <v>16</v>
      </c>
      <c r="I35" s="11"/>
      <c r="J35" s="6" t="s">
        <v>116</v>
      </c>
    </row>
    <row r="36" customFormat="false" ht="15" hidden="false" customHeight="false" outlineLevel="0" collapsed="false">
      <c r="A36" s="5" t="s">
        <v>117</v>
      </c>
      <c r="B36" s="5" t="s">
        <v>112</v>
      </c>
      <c r="C36" s="6" t="s">
        <v>118</v>
      </c>
      <c r="D36" s="6" t="s">
        <v>119</v>
      </c>
      <c r="E36" s="7" t="n">
        <v>1</v>
      </c>
      <c r="F36" s="8" t="n">
        <v>250</v>
      </c>
      <c r="G36" s="9" t="n">
        <f aca="false">E36*F36</f>
        <v>250</v>
      </c>
      <c r="H36" s="12" t="s">
        <v>63</v>
      </c>
      <c r="I36" s="11"/>
      <c r="J36" s="6" t="s">
        <v>120</v>
      </c>
    </row>
    <row r="37" customFormat="false" ht="15" hidden="false" customHeight="false" outlineLevel="0" collapsed="false">
      <c r="A37" s="5" t="s">
        <v>121</v>
      </c>
      <c r="B37" s="5" t="s">
        <v>112</v>
      </c>
      <c r="C37" s="6" t="s">
        <v>122</v>
      </c>
      <c r="D37" s="6" t="s">
        <v>123</v>
      </c>
      <c r="E37" s="7" t="n">
        <v>1</v>
      </c>
      <c r="F37" s="8" t="n">
        <v>60</v>
      </c>
      <c r="G37" s="9" t="n">
        <f aca="false">E37*F37</f>
        <v>60</v>
      </c>
      <c r="H37" s="12" t="s">
        <v>63</v>
      </c>
      <c r="I37" s="11"/>
      <c r="J37" s="6" t="s">
        <v>124</v>
      </c>
    </row>
    <row r="38" customFormat="false" ht="15" hidden="false" customHeight="false" outlineLevel="0" collapsed="false">
      <c r="A38" s="4" t="s">
        <v>125</v>
      </c>
      <c r="B38" s="4"/>
      <c r="C38" s="4"/>
      <c r="D38" s="4"/>
      <c r="E38" s="4"/>
      <c r="F38" s="4"/>
      <c r="G38" s="4"/>
      <c r="H38" s="4"/>
      <c r="I38" s="4"/>
      <c r="J38" s="4"/>
    </row>
    <row r="39" customFormat="false" ht="15" hidden="false" customHeight="false" outlineLevel="0" collapsed="false">
      <c r="A39" s="5" t="s">
        <v>126</v>
      </c>
      <c r="B39" s="5" t="s">
        <v>125</v>
      </c>
      <c r="C39" s="6" t="s">
        <v>127</v>
      </c>
      <c r="D39" s="6" t="s">
        <v>128</v>
      </c>
      <c r="E39" s="7" t="n">
        <v>1</v>
      </c>
      <c r="F39" s="8" t="n">
        <v>0</v>
      </c>
      <c r="G39" s="9" t="n">
        <f aca="false">E39*F39</f>
        <v>0</v>
      </c>
      <c r="H39" s="13" t="s">
        <v>129</v>
      </c>
      <c r="I39" s="11"/>
      <c r="J39" s="6" t="s">
        <v>130</v>
      </c>
    </row>
    <row r="40" customFormat="false" ht="15" hidden="false" customHeight="false" outlineLevel="0" collapsed="false">
      <c r="A40" s="5" t="s">
        <v>131</v>
      </c>
      <c r="B40" s="5" t="s">
        <v>125</v>
      </c>
      <c r="C40" s="6" t="s">
        <v>132</v>
      </c>
      <c r="D40" s="6" t="s">
        <v>133</v>
      </c>
      <c r="E40" s="7" t="n">
        <v>1</v>
      </c>
      <c r="F40" s="8" t="n">
        <v>0</v>
      </c>
      <c r="G40" s="9" t="n">
        <f aca="false">E40*F40</f>
        <v>0</v>
      </c>
      <c r="H40" s="13" t="s">
        <v>129</v>
      </c>
      <c r="I40" s="11"/>
      <c r="J40" s="6" t="s">
        <v>134</v>
      </c>
    </row>
    <row r="41" customFormat="false" ht="15" hidden="false" customHeight="false" outlineLevel="0" collapsed="false">
      <c r="A41" s="5" t="s">
        <v>135</v>
      </c>
      <c r="B41" s="5" t="s">
        <v>125</v>
      </c>
      <c r="C41" s="6" t="s">
        <v>136</v>
      </c>
      <c r="D41" s="6" t="s">
        <v>137</v>
      </c>
      <c r="E41" s="7" t="n">
        <v>1</v>
      </c>
      <c r="F41" s="8" t="n">
        <v>0</v>
      </c>
      <c r="G41" s="9" t="n">
        <f aca="false">E41*F41</f>
        <v>0</v>
      </c>
      <c r="H41" s="13" t="s">
        <v>129</v>
      </c>
      <c r="I41" s="11"/>
      <c r="J41" s="6" t="s">
        <v>138</v>
      </c>
    </row>
    <row r="42" customFormat="false" ht="15" hidden="false" customHeight="false" outlineLevel="0" collapsed="false">
      <c r="A42" s="5" t="s">
        <v>139</v>
      </c>
      <c r="B42" s="5" t="s">
        <v>125</v>
      </c>
      <c r="C42" s="6" t="s">
        <v>140</v>
      </c>
      <c r="D42" s="6" t="s">
        <v>141</v>
      </c>
      <c r="E42" s="7" t="n">
        <v>1</v>
      </c>
      <c r="F42" s="8" t="n">
        <v>150</v>
      </c>
      <c r="G42" s="9" t="n">
        <f aca="false">E42*F42</f>
        <v>150</v>
      </c>
      <c r="H42" s="12" t="s">
        <v>63</v>
      </c>
      <c r="I42" s="11"/>
      <c r="J42" s="6" t="s">
        <v>142</v>
      </c>
    </row>
    <row r="43" customFormat="false" ht="15" hidden="false" customHeight="false" outlineLevel="0" collapsed="false">
      <c r="A43" s="5" t="s">
        <v>143</v>
      </c>
      <c r="B43" s="5" t="s">
        <v>125</v>
      </c>
      <c r="C43" s="6" t="s">
        <v>144</v>
      </c>
      <c r="D43" s="6" t="s">
        <v>145</v>
      </c>
      <c r="E43" s="7" t="n">
        <v>2</v>
      </c>
      <c r="F43" s="8" t="n">
        <v>40</v>
      </c>
      <c r="G43" s="9" t="n">
        <f aca="false">E43*F43</f>
        <v>80</v>
      </c>
      <c r="H43" s="10" t="s">
        <v>16</v>
      </c>
      <c r="I43" s="11"/>
      <c r="J43" s="6" t="s">
        <v>146</v>
      </c>
    </row>
    <row r="44" customFormat="false" ht="15" hidden="false" customHeight="false" outlineLevel="0" collapsed="false">
      <c r="A44" s="5" t="s">
        <v>147</v>
      </c>
      <c r="B44" s="5" t="s">
        <v>125</v>
      </c>
      <c r="C44" s="6" t="s">
        <v>148</v>
      </c>
      <c r="D44" s="6" t="s">
        <v>149</v>
      </c>
      <c r="E44" s="7" t="n">
        <v>1</v>
      </c>
      <c r="F44" s="8" t="n">
        <v>100</v>
      </c>
      <c r="G44" s="9" t="n">
        <f aca="false">E44*F44</f>
        <v>100</v>
      </c>
      <c r="H44" s="10" t="s">
        <v>16</v>
      </c>
      <c r="I44" s="11"/>
      <c r="J44" s="6" t="s">
        <v>150</v>
      </c>
    </row>
    <row r="45" customFormat="false" ht="15" hidden="false" customHeight="false" outlineLevel="0" collapsed="false">
      <c r="A45" s="4" t="s">
        <v>151</v>
      </c>
      <c r="B45" s="4"/>
      <c r="C45" s="4"/>
      <c r="D45" s="4"/>
      <c r="E45" s="4"/>
      <c r="F45" s="4"/>
      <c r="G45" s="4"/>
      <c r="H45" s="4"/>
      <c r="I45" s="4"/>
      <c r="J45" s="4"/>
    </row>
    <row r="46" customFormat="false" ht="15" hidden="false" customHeight="false" outlineLevel="0" collapsed="false">
      <c r="A46" s="5" t="s">
        <v>152</v>
      </c>
      <c r="B46" s="5" t="s">
        <v>151</v>
      </c>
      <c r="C46" s="6" t="s">
        <v>153</v>
      </c>
      <c r="D46" s="6" t="s">
        <v>154</v>
      </c>
      <c r="E46" s="7" t="n">
        <v>2</v>
      </c>
      <c r="F46" s="8" t="n">
        <v>50</v>
      </c>
      <c r="G46" s="9" t="n">
        <f aca="false">E46*F46</f>
        <v>100</v>
      </c>
      <c r="H46" s="10" t="s">
        <v>16</v>
      </c>
      <c r="I46" s="11"/>
      <c r="J46" s="6" t="s">
        <v>155</v>
      </c>
    </row>
    <row r="47" customFormat="false" ht="15" hidden="false" customHeight="false" outlineLevel="0" collapsed="false">
      <c r="A47" s="5" t="s">
        <v>156</v>
      </c>
      <c r="B47" s="5" t="s">
        <v>151</v>
      </c>
      <c r="C47" s="6" t="s">
        <v>157</v>
      </c>
      <c r="D47" s="6" t="s">
        <v>158</v>
      </c>
      <c r="E47" s="7" t="n">
        <v>4</v>
      </c>
      <c r="F47" s="8" t="n">
        <v>20</v>
      </c>
      <c r="G47" s="9" t="n">
        <f aca="false">E47*F47</f>
        <v>80</v>
      </c>
      <c r="H47" s="10" t="s">
        <v>16</v>
      </c>
      <c r="I47" s="11"/>
      <c r="J47" s="6" t="s">
        <v>159</v>
      </c>
    </row>
    <row r="48" customFormat="false" ht="15" hidden="false" customHeight="false" outlineLevel="0" collapsed="false">
      <c r="A48" s="5" t="s">
        <v>160</v>
      </c>
      <c r="B48" s="5" t="s">
        <v>151</v>
      </c>
      <c r="C48" s="6" t="s">
        <v>161</v>
      </c>
      <c r="D48" s="6" t="s">
        <v>162</v>
      </c>
      <c r="E48" s="7" t="n">
        <v>1</v>
      </c>
      <c r="F48" s="8" t="n">
        <v>250</v>
      </c>
      <c r="G48" s="9" t="n">
        <f aca="false">E48*F48</f>
        <v>250</v>
      </c>
      <c r="H48" s="10" t="s">
        <v>16</v>
      </c>
      <c r="I48" s="11"/>
      <c r="J48" s="6" t="s">
        <v>163</v>
      </c>
    </row>
    <row r="49" customFormat="false" ht="15" hidden="false" customHeight="false" outlineLevel="0" collapsed="false">
      <c r="A49" s="5" t="s">
        <v>164</v>
      </c>
      <c r="B49" s="5" t="s">
        <v>151</v>
      </c>
      <c r="C49" s="6" t="s">
        <v>165</v>
      </c>
      <c r="D49" s="6" t="s">
        <v>166</v>
      </c>
      <c r="E49" s="7" t="n">
        <v>1</v>
      </c>
      <c r="F49" s="8" t="n">
        <v>150</v>
      </c>
      <c r="G49" s="9" t="n">
        <f aca="false">E49*F49</f>
        <v>150</v>
      </c>
      <c r="H49" s="12" t="s">
        <v>63</v>
      </c>
      <c r="I49" s="11"/>
      <c r="J49" s="6" t="s">
        <v>167</v>
      </c>
    </row>
    <row r="50" customFormat="false" ht="15" hidden="false" customHeight="false" outlineLevel="0" collapsed="false">
      <c r="A50" s="5" t="s">
        <v>168</v>
      </c>
      <c r="B50" s="5" t="s">
        <v>151</v>
      </c>
      <c r="C50" s="6" t="s">
        <v>169</v>
      </c>
      <c r="D50" s="6" t="s">
        <v>170</v>
      </c>
      <c r="E50" s="7" t="n">
        <v>1</v>
      </c>
      <c r="F50" s="8" t="n">
        <v>250</v>
      </c>
      <c r="G50" s="9" t="n">
        <f aca="false">E50*F50</f>
        <v>250</v>
      </c>
      <c r="H50" s="12" t="s">
        <v>63</v>
      </c>
      <c r="I50" s="11"/>
      <c r="J50" s="6" t="s">
        <v>171</v>
      </c>
    </row>
    <row r="51" customFormat="false" ht="15" hidden="false" customHeight="false" outlineLevel="0" collapsed="false">
      <c r="A51" s="5" t="s">
        <v>172</v>
      </c>
      <c r="B51" s="5" t="s">
        <v>151</v>
      </c>
      <c r="C51" s="6" t="s">
        <v>173</v>
      </c>
      <c r="D51" s="6" t="s">
        <v>174</v>
      </c>
      <c r="E51" s="7" t="n">
        <v>1</v>
      </c>
      <c r="F51" s="8" t="n">
        <v>100</v>
      </c>
      <c r="G51" s="9" t="n">
        <f aca="false">E51*F51</f>
        <v>100</v>
      </c>
      <c r="H51" s="12" t="s">
        <v>63</v>
      </c>
      <c r="I51" s="11"/>
      <c r="J51" s="6" t="s">
        <v>175</v>
      </c>
    </row>
    <row r="52" customFormat="false" ht="15" hidden="false" customHeight="false" outlineLevel="0" collapsed="false">
      <c r="A52" s="5" t="s">
        <v>176</v>
      </c>
      <c r="B52" s="5" t="s">
        <v>151</v>
      </c>
      <c r="C52" s="6" t="s">
        <v>177</v>
      </c>
      <c r="D52" s="6" t="s">
        <v>178</v>
      </c>
      <c r="E52" s="7" t="n">
        <v>1</v>
      </c>
      <c r="F52" s="8" t="n">
        <v>250</v>
      </c>
      <c r="G52" s="9" t="n">
        <f aca="false">E52*F52</f>
        <v>250</v>
      </c>
      <c r="H52" s="12" t="s">
        <v>63</v>
      </c>
      <c r="I52" s="11"/>
      <c r="J52" s="6" t="s">
        <v>171</v>
      </c>
    </row>
    <row r="53" customFormat="false" ht="15" hidden="false" customHeight="false" outlineLevel="0" collapsed="false">
      <c r="A53" s="4" t="s">
        <v>179</v>
      </c>
      <c r="B53" s="4"/>
      <c r="C53" s="4"/>
      <c r="D53" s="4"/>
      <c r="E53" s="4"/>
      <c r="F53" s="4"/>
      <c r="G53" s="4"/>
      <c r="H53" s="4"/>
      <c r="I53" s="4"/>
      <c r="J53" s="4"/>
    </row>
    <row r="54" customFormat="false" ht="15" hidden="false" customHeight="false" outlineLevel="0" collapsed="false">
      <c r="A54" s="5" t="s">
        <v>180</v>
      </c>
      <c r="B54" s="5" t="s">
        <v>179</v>
      </c>
      <c r="C54" s="6" t="s">
        <v>181</v>
      </c>
      <c r="D54" s="6" t="s">
        <v>182</v>
      </c>
      <c r="E54" s="7" t="n">
        <v>1</v>
      </c>
      <c r="F54" s="8" t="n">
        <v>435</v>
      </c>
      <c r="G54" s="9" t="n">
        <f aca="false">E54*F54</f>
        <v>435</v>
      </c>
      <c r="H54" s="10" t="s">
        <v>16</v>
      </c>
      <c r="I54" s="11"/>
      <c r="J54" s="6" t="s">
        <v>183</v>
      </c>
    </row>
    <row r="55" customFormat="false" ht="15" hidden="false" customHeight="false" outlineLevel="0" collapsed="false">
      <c r="A55" s="4" t="s">
        <v>184</v>
      </c>
      <c r="B55" s="4"/>
      <c r="C55" s="4"/>
      <c r="D55" s="4"/>
      <c r="E55" s="4"/>
      <c r="F55" s="4"/>
      <c r="G55" s="4"/>
      <c r="H55" s="4"/>
      <c r="I55" s="4"/>
      <c r="J55" s="4"/>
    </row>
    <row r="56" customFormat="false" ht="15" hidden="false" customHeight="false" outlineLevel="0" collapsed="false">
      <c r="A56" s="5" t="s">
        <v>185</v>
      </c>
      <c r="B56" s="5" t="s">
        <v>184</v>
      </c>
      <c r="C56" s="6" t="s">
        <v>186</v>
      </c>
      <c r="D56" s="6" t="s">
        <v>187</v>
      </c>
      <c r="E56" s="7" t="n">
        <v>1</v>
      </c>
      <c r="F56" s="8" t="n">
        <v>0</v>
      </c>
      <c r="G56" s="9" t="n">
        <f aca="false">E56*F56</f>
        <v>0</v>
      </c>
      <c r="H56" s="12" t="s">
        <v>63</v>
      </c>
      <c r="I56" s="11"/>
      <c r="J56" s="6" t="s">
        <v>188</v>
      </c>
    </row>
    <row r="57" customFormat="false" ht="15" hidden="false" customHeight="false" outlineLevel="0" collapsed="false">
      <c r="A57" s="5" t="s">
        <v>189</v>
      </c>
      <c r="B57" s="5" t="s">
        <v>184</v>
      </c>
      <c r="C57" s="6" t="s">
        <v>190</v>
      </c>
      <c r="D57" s="6" t="s">
        <v>191</v>
      </c>
      <c r="E57" s="7" t="n">
        <v>1</v>
      </c>
      <c r="F57" s="8" t="n">
        <v>0</v>
      </c>
      <c r="G57" s="9" t="n">
        <f aca="false">E57*F57</f>
        <v>0</v>
      </c>
      <c r="H57" s="12" t="s">
        <v>63</v>
      </c>
      <c r="I57" s="11"/>
      <c r="J57" s="6"/>
    </row>
    <row r="58" customFormat="false" ht="15" hidden="false" customHeight="false" outlineLevel="0" collapsed="false">
      <c r="A58" s="5" t="s">
        <v>192</v>
      </c>
      <c r="B58" s="5" t="s">
        <v>184</v>
      </c>
      <c r="C58" s="6" t="s">
        <v>193</v>
      </c>
      <c r="D58" s="6" t="s">
        <v>194</v>
      </c>
      <c r="E58" s="7" t="n">
        <v>1</v>
      </c>
      <c r="F58" s="8" t="n">
        <v>0</v>
      </c>
      <c r="G58" s="9" t="n">
        <f aca="false">E58*F58</f>
        <v>0</v>
      </c>
      <c r="H58" s="12" t="s">
        <v>63</v>
      </c>
      <c r="I58" s="11"/>
      <c r="J58" s="6" t="s">
        <v>195</v>
      </c>
    </row>
    <row r="59" customFormat="false" ht="15" hidden="false" customHeight="false" outlineLevel="0" collapsed="false">
      <c r="A59" s="5" t="s">
        <v>196</v>
      </c>
      <c r="B59" s="5" t="s">
        <v>184</v>
      </c>
      <c r="C59" s="6" t="s">
        <v>197</v>
      </c>
      <c r="D59" s="6" t="s">
        <v>198</v>
      </c>
      <c r="E59" s="7" t="n">
        <v>1</v>
      </c>
      <c r="F59" s="8" t="n">
        <v>0</v>
      </c>
      <c r="G59" s="9" t="n">
        <f aca="false">E59*F59</f>
        <v>0</v>
      </c>
      <c r="H59" s="12" t="s">
        <v>63</v>
      </c>
      <c r="I59" s="11"/>
      <c r="J59" s="6" t="s">
        <v>199</v>
      </c>
    </row>
    <row r="61" customFormat="false" ht="15" hidden="false" customHeight="false" outlineLevel="0" collapsed="false">
      <c r="D61" s="14" t="s">
        <v>200</v>
      </c>
      <c r="G61" s="15" t="n">
        <f aca="false">SUMIF(H5:H59,"BUY",G5:G59)</f>
        <v>5947</v>
      </c>
      <c r="J61" s="16" t="s">
        <v>201</v>
      </c>
    </row>
    <row r="62" customFormat="false" ht="15" hidden="false" customHeight="false" outlineLevel="0" collapsed="false">
      <c r="D62" s="14" t="s">
        <v>202</v>
      </c>
      <c r="G62" s="17" t="n">
        <f aca="false">SUMIF(H5:H59,"BUY",G5:G59)+SUMIF(H5:H59,"CHECK LAB",G5:G59)</f>
        <v>7317</v>
      </c>
      <c r="J62" s="16" t="s">
        <v>203</v>
      </c>
    </row>
    <row r="63" customFormat="false" ht="15" hidden="false" customHeight="false" outlineLevel="0" collapsed="false">
      <c r="D63" s="14" t="s">
        <v>204</v>
      </c>
      <c r="G63" s="18" t="n">
        <f aca="false">SUMIF(H5:H59,"CHECK LAB",G5:G59)</f>
        <v>1370</v>
      </c>
      <c r="J63" s="16" t="s">
        <v>205</v>
      </c>
    </row>
  </sheetData>
  <autoFilter ref="A4:J59"/>
  <mergeCells count="13">
    <mergeCell ref="A1:J1"/>
    <mergeCell ref="A2:J2"/>
    <mergeCell ref="A5:J5"/>
    <mergeCell ref="A10:J10"/>
    <mergeCell ref="A15:J15"/>
    <mergeCell ref="A20:J20"/>
    <mergeCell ref="A23:J23"/>
    <mergeCell ref="A30:J30"/>
    <mergeCell ref="A34:J34"/>
    <mergeCell ref="A38:J38"/>
    <mergeCell ref="A45:J45"/>
    <mergeCell ref="A53:J53"/>
    <mergeCell ref="A55:J55"/>
  </mergeCells>
  <dataValidations count="1">
    <dataValidation allowBlank="true" errorStyle="stop" operator="between" showDropDown="false" showErrorMessage="false" showInputMessage="false" sqref="I5:I59" type="list">
      <formula1>"YES,NO,ORDERED"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34"/>
    <col collapsed="false" customWidth="true" hidden="false" outlineLevel="0" max="3" min="3" style="0" width="5"/>
    <col collapsed="false" customWidth="true" hidden="false" outlineLevel="0" max="4" min="4" style="0" width="9"/>
    <col collapsed="false" customWidth="true" hidden="false" outlineLevel="0" max="5" min="5" style="0" width="10"/>
    <col collapsed="false" customWidth="true" hidden="false" outlineLevel="0" max="6" min="6" style="0" width="64"/>
  </cols>
  <sheetData>
    <row r="1" customFormat="false" ht="17.35" hidden="false" customHeight="false" outlineLevel="0" collapsed="false">
      <c r="A1" s="1" t="s">
        <v>206</v>
      </c>
      <c r="B1" s="1"/>
      <c r="C1" s="1"/>
      <c r="D1" s="1"/>
      <c r="E1" s="1"/>
      <c r="F1" s="1"/>
    </row>
    <row r="2" customFormat="false" ht="15" hidden="false" customHeight="false" outlineLevel="0" collapsed="false">
      <c r="A2" s="2" t="s">
        <v>207</v>
      </c>
      <c r="B2" s="2"/>
      <c r="C2" s="2"/>
      <c r="D2" s="2"/>
      <c r="E2" s="2"/>
      <c r="F2" s="2"/>
    </row>
    <row r="4" customFormat="false" ht="30" hidden="false" customHeight="true" outlineLevel="0" collapsed="false">
      <c r="A4" s="3" t="s">
        <v>4</v>
      </c>
      <c r="B4" s="3" t="s">
        <v>208</v>
      </c>
      <c r="C4" s="3" t="s">
        <v>6</v>
      </c>
      <c r="D4" s="3" t="s">
        <v>7</v>
      </c>
      <c r="E4" s="3" t="s">
        <v>8</v>
      </c>
      <c r="F4" s="3" t="s">
        <v>209</v>
      </c>
    </row>
    <row r="5" customFormat="false" ht="22.35" hidden="false" customHeight="false" outlineLevel="0" collapsed="false">
      <c r="A5" s="6" t="s">
        <v>210</v>
      </c>
      <c r="B5" s="6" t="s">
        <v>211</v>
      </c>
      <c r="C5" s="7" t="n">
        <v>1</v>
      </c>
      <c r="D5" s="8" t="n">
        <v>2971</v>
      </c>
      <c r="E5" s="9" t="n">
        <f aca="false">C5*D5</f>
        <v>2971</v>
      </c>
      <c r="F5" s="6" t="s">
        <v>212</v>
      </c>
    </row>
    <row r="6" customFormat="false" ht="22.35" hidden="false" customHeight="false" outlineLevel="0" collapsed="false">
      <c r="A6" s="6" t="s">
        <v>213</v>
      </c>
      <c r="B6" s="6" t="s">
        <v>214</v>
      </c>
      <c r="C6" s="7" t="n">
        <v>1</v>
      </c>
      <c r="D6" s="8" t="n">
        <v>2500</v>
      </c>
      <c r="E6" s="9" t="n">
        <f aca="false">C6*D6</f>
        <v>2500</v>
      </c>
      <c r="F6" s="6" t="s">
        <v>215</v>
      </c>
    </row>
    <row r="7" customFormat="false" ht="15" hidden="false" customHeight="false" outlineLevel="0" collapsed="false">
      <c r="A7" s="6" t="s">
        <v>216</v>
      </c>
      <c r="B7" s="6" t="s">
        <v>217</v>
      </c>
      <c r="C7" s="7" t="n">
        <v>1</v>
      </c>
      <c r="D7" s="8" t="n">
        <v>269</v>
      </c>
      <c r="E7" s="9" t="n">
        <f aca="false">C7*D7</f>
        <v>269</v>
      </c>
      <c r="F7" s="6" t="s">
        <v>218</v>
      </c>
    </row>
    <row r="8" customFormat="false" ht="15" hidden="false" customHeight="false" outlineLevel="0" collapsed="false">
      <c r="A8" s="6" t="s">
        <v>219</v>
      </c>
      <c r="B8" s="6" t="s">
        <v>220</v>
      </c>
      <c r="C8" s="7" t="n">
        <v>2</v>
      </c>
      <c r="D8" s="8" t="n">
        <v>197</v>
      </c>
      <c r="E8" s="9" t="n">
        <f aca="false">C8*D8</f>
        <v>394</v>
      </c>
      <c r="F8" s="6" t="s">
        <v>221</v>
      </c>
    </row>
    <row r="9" customFormat="false" ht="15" hidden="false" customHeight="false" outlineLevel="0" collapsed="false">
      <c r="A9" s="6" t="s">
        <v>222</v>
      </c>
      <c r="B9" s="6" t="s">
        <v>223</v>
      </c>
      <c r="C9" s="7" t="n">
        <v>1</v>
      </c>
      <c r="D9" s="8" t="n">
        <v>300</v>
      </c>
      <c r="E9" s="9" t="n">
        <f aca="false">C9*D9</f>
        <v>300</v>
      </c>
      <c r="F9" s="6" t="s">
        <v>224</v>
      </c>
    </row>
    <row r="10" customFormat="false" ht="22.35" hidden="false" customHeight="false" outlineLevel="0" collapsed="false">
      <c r="A10" s="6" t="s">
        <v>225</v>
      </c>
      <c r="B10" s="6" t="s">
        <v>226</v>
      </c>
      <c r="C10" s="7" t="n">
        <v>1</v>
      </c>
      <c r="D10" s="8" t="n">
        <v>250</v>
      </c>
      <c r="E10" s="9" t="n">
        <f aca="false">C10*D10</f>
        <v>250</v>
      </c>
      <c r="F10" s="6" t="s">
        <v>227</v>
      </c>
    </row>
    <row r="11" customFormat="false" ht="15" hidden="false" customHeight="false" outlineLevel="0" collapsed="false">
      <c r="A11" s="6" t="s">
        <v>228</v>
      </c>
      <c r="B11" s="6" t="s">
        <v>229</v>
      </c>
      <c r="C11" s="7" t="n">
        <v>1</v>
      </c>
      <c r="D11" s="8" t="n">
        <v>480</v>
      </c>
      <c r="E11" s="9" t="n">
        <f aca="false">C11*D11</f>
        <v>480</v>
      </c>
      <c r="F11" s="6" t="s">
        <v>230</v>
      </c>
    </row>
    <row r="12" customFormat="false" ht="15" hidden="false" customHeight="false" outlineLevel="0" collapsed="false">
      <c r="A12" s="6" t="s">
        <v>231</v>
      </c>
      <c r="B12" s="6"/>
      <c r="C12" s="7" t="n">
        <v>1</v>
      </c>
      <c r="D12" s="8" t="n">
        <v>179</v>
      </c>
      <c r="E12" s="9" t="n">
        <f aca="false">C12*D12</f>
        <v>179</v>
      </c>
      <c r="F12" s="6" t="s">
        <v>232</v>
      </c>
    </row>
    <row r="13" customFormat="false" ht="15" hidden="false" customHeight="false" outlineLevel="0" collapsed="false">
      <c r="A13" s="6" t="s">
        <v>233</v>
      </c>
      <c r="B13" s="6" t="s">
        <v>234</v>
      </c>
      <c r="C13" s="7" t="n">
        <v>1</v>
      </c>
      <c r="D13" s="8" t="n">
        <v>120</v>
      </c>
      <c r="E13" s="9" t="n">
        <f aca="false">C13*D13</f>
        <v>120</v>
      </c>
      <c r="F13" s="6" t="s">
        <v>235</v>
      </c>
    </row>
    <row r="15" customFormat="false" ht="15" hidden="false" customHeight="false" outlineLevel="0" collapsed="false">
      <c r="D15" s="14" t="s">
        <v>236</v>
      </c>
      <c r="E15" s="19" t="n">
        <f aca="false">SUM(E5:E13)</f>
        <v>7463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5"/>
  </cols>
  <sheetData>
    <row r="1" customFormat="false" ht="17.35" hidden="false" customHeight="false" outlineLevel="0" collapsed="false">
      <c r="A1" s="20" t="s">
        <v>237</v>
      </c>
    </row>
    <row r="3" customFormat="false" ht="15" hidden="false" customHeight="false" outlineLevel="0" collapsed="false">
      <c r="B3" s="21" t="s">
        <v>238</v>
      </c>
    </row>
    <row r="5" customFormat="false" ht="25.5" hidden="false" customHeight="true" outlineLevel="0" collapsed="false">
      <c r="A5" s="22" t="s">
        <v>239</v>
      </c>
      <c r="B5" s="23" t="s">
        <v>240</v>
      </c>
    </row>
    <row r="6" customFormat="false" ht="25.5" hidden="false" customHeight="true" outlineLevel="0" collapsed="false">
      <c r="A6" s="22" t="s">
        <v>241</v>
      </c>
      <c r="B6" s="23" t="s">
        <v>242</v>
      </c>
    </row>
    <row r="7" customFormat="false" ht="13.5" hidden="false" customHeight="true" outlineLevel="0" collapsed="false">
      <c r="A7" s="22" t="s">
        <v>243</v>
      </c>
      <c r="B7" s="23" t="s">
        <v>244</v>
      </c>
    </row>
    <row r="8" customFormat="false" ht="25.5" hidden="false" customHeight="true" outlineLevel="0" collapsed="false">
      <c r="A8" s="22" t="s">
        <v>245</v>
      </c>
      <c r="B8" s="23" t="s">
        <v>246</v>
      </c>
    </row>
    <row r="10" customFormat="false" ht="15" hidden="false" customHeight="false" outlineLevel="0" collapsed="false">
      <c r="B10" s="21" t="s">
        <v>247</v>
      </c>
    </row>
    <row r="12" customFormat="false" ht="25.5" hidden="false" customHeight="true" outlineLevel="0" collapsed="false">
      <c r="A12" s="22" t="s">
        <v>248</v>
      </c>
      <c r="B12" s="23" t="s">
        <v>249</v>
      </c>
    </row>
    <row r="13" customFormat="false" ht="25.5" hidden="false" customHeight="true" outlineLevel="0" collapsed="false">
      <c r="A13" s="22" t="s">
        <v>248</v>
      </c>
      <c r="B13" s="23" t="s">
        <v>250</v>
      </c>
    </row>
    <row r="14" customFormat="false" ht="25.5" hidden="false" customHeight="true" outlineLevel="0" collapsed="false">
      <c r="A14" s="22" t="s">
        <v>248</v>
      </c>
      <c r="B14" s="23" t="s">
        <v>251</v>
      </c>
    </row>
    <row r="15" customFormat="false" ht="25.5" hidden="false" customHeight="true" outlineLevel="0" collapsed="false">
      <c r="A15" s="22" t="s">
        <v>248</v>
      </c>
      <c r="B15" s="23" t="s">
        <v>252</v>
      </c>
    </row>
    <row r="17" customFormat="false" ht="15" hidden="false" customHeight="false" outlineLevel="0" collapsed="false">
      <c r="B17" s="21" t="s">
        <v>253</v>
      </c>
    </row>
    <row r="19" customFormat="false" ht="25.5" hidden="false" customHeight="true" outlineLevel="0" collapsed="false">
      <c r="A19" s="22" t="s">
        <v>248</v>
      </c>
      <c r="B19" s="23" t="s">
        <v>254</v>
      </c>
    </row>
    <row r="20" customFormat="false" ht="25.5" hidden="false" customHeight="true" outlineLevel="0" collapsed="false">
      <c r="A20" s="22" t="s">
        <v>248</v>
      </c>
      <c r="B20" s="23" t="s">
        <v>255</v>
      </c>
    </row>
    <row r="21" customFormat="false" ht="25.5" hidden="false" customHeight="true" outlineLevel="0" collapsed="false">
      <c r="A21" s="22" t="s">
        <v>248</v>
      </c>
      <c r="B21" s="23" t="s">
        <v>256</v>
      </c>
    </row>
    <row r="23" customFormat="false" ht="15" hidden="false" customHeight="false" outlineLevel="0" collapsed="false">
      <c r="B23" s="21" t="s">
        <v>257</v>
      </c>
    </row>
    <row r="25" customFormat="false" ht="25.5" hidden="false" customHeight="true" outlineLevel="0" collapsed="false">
      <c r="A25" s="22" t="s">
        <v>248</v>
      </c>
      <c r="B25" s="23" t="s">
        <v>258</v>
      </c>
    </row>
    <row r="26" customFormat="false" ht="13.5" hidden="false" customHeight="true" outlineLevel="0" collapsed="false">
      <c r="A26" s="22" t="s">
        <v>248</v>
      </c>
      <c r="B26" s="23" t="s">
        <v>259</v>
      </c>
    </row>
    <row r="28" customFormat="false" ht="15" hidden="false" customHeight="false" outlineLevel="0" collapsed="false">
      <c r="B28" s="21" t="s">
        <v>260</v>
      </c>
    </row>
    <row r="30" customFormat="false" ht="25.5" hidden="false" customHeight="true" outlineLevel="0" collapsed="false">
      <c r="A30" s="22" t="s">
        <v>248</v>
      </c>
      <c r="B30" s="23" t="s">
        <v>261</v>
      </c>
    </row>
    <row r="31" customFormat="false" ht="25.5" hidden="false" customHeight="true" outlineLevel="0" collapsed="false">
      <c r="A31" s="22" t="s">
        <v>248</v>
      </c>
      <c r="B31" s="23" t="s">
        <v>262</v>
      </c>
    </row>
    <row r="33" customFormat="false" ht="15" hidden="false" customHeight="false" outlineLevel="0" collapsed="false">
      <c r="B33" s="21" t="s">
        <v>263</v>
      </c>
    </row>
    <row r="35" customFormat="false" ht="25.5" hidden="false" customHeight="true" outlineLevel="0" collapsed="false">
      <c r="A35" s="22" t="s">
        <v>248</v>
      </c>
      <c r="B35" s="23" t="s">
        <v>264</v>
      </c>
    </row>
    <row r="36" customFormat="false" ht="25.5" hidden="false" customHeight="true" outlineLevel="0" collapsed="false">
      <c r="A36" s="22" t="s">
        <v>248</v>
      </c>
      <c r="B36" s="23" t="s">
        <v>265</v>
      </c>
    </row>
    <row r="38" customFormat="false" ht="15" hidden="false" customHeight="false" outlineLevel="0" collapsed="false">
      <c r="B38" s="21" t="s">
        <v>266</v>
      </c>
    </row>
    <row r="40" customFormat="false" ht="25.5" hidden="false" customHeight="true" outlineLevel="0" collapsed="false">
      <c r="A40" s="22" t="s">
        <v>248</v>
      </c>
      <c r="B40" s="23" t="s">
        <v>267</v>
      </c>
    </row>
    <row r="41" customFormat="false" ht="25.5" hidden="false" customHeight="true" outlineLevel="0" collapsed="false">
      <c r="A41" s="22" t="s">
        <v>248</v>
      </c>
      <c r="B41" s="23" t="s">
        <v>268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2026-09-21T13:34:08Z</dcterms:created>
  <dc:creator>openpyxl</dc:creator>
  <dc:description/>
  <dc:language>en-US</dc:language>
  <cp:lastModifiedBy/>
  <dcterms:modified xsi:type="dcterms:W3CDTF">2026-09-21T13:34:08Z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